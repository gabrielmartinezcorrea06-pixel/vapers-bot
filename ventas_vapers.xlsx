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entas" sheetId="1" state="visible" r:id="rId1"/>
    <sheet name="Catálogo" sheetId="2" state="visible" r:id="rId2"/>
    <sheet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#,##0.00 €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FFFFFF"/>
      <sz val="13"/>
    </font>
    <font>
      <name val="Calibri"/>
      <charset val="1"/>
      <family val="2"/>
      <color rgb="FFFFFFFF"/>
      <sz val="13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2A6099"/>
        <bgColor rgb="FF3366FF"/>
      </patternFill>
    </fill>
    <fill>
      <patternFill patternType="solid">
        <fgColor rgb="FF4F81BD"/>
        <bgColor rgb="FF8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6" activeCellId="0" sqref="F6"/>
    </sheetView>
  </sheetViews>
  <sheetFormatPr baseColWidth="8" defaultColWidth="8.6796875" defaultRowHeight="15" customHeight="0" zeroHeight="0" outlineLevelRow="0"/>
  <cols>
    <col width="12.15" customWidth="1" style="9" min="1" max="1"/>
    <col width="10.06" customWidth="1" style="9" min="3" max="3"/>
    <col width="15.49" customWidth="1" style="9" min="4" max="4"/>
    <col width="18.13" customWidth="1" style="9" min="5" max="5"/>
    <col width="16.74" customWidth="1" style="9" min="6" max="6"/>
  </cols>
  <sheetData>
    <row r="1" ht="15.75" customHeight="1" s="10">
      <c r="A1" s="11" t="inlineStr">
        <is>
          <t xml:space="preserve">Fecha </t>
        </is>
      </c>
      <c r="B1" s="11" t="inlineStr">
        <is>
          <t xml:space="preserve">Hora </t>
        </is>
      </c>
      <c r="C1" s="12" t="inlineStr">
        <is>
          <t>Cantidad</t>
        </is>
      </c>
      <c r="D1" s="11" t="inlineStr">
        <is>
          <t xml:space="preserve">Sabor </t>
        </is>
      </c>
      <c r="E1" s="11" t="inlineStr">
        <is>
          <t xml:space="preserve">Método de pago </t>
        </is>
      </c>
      <c r="F1" s="11" t="inlineStr">
        <is>
          <t xml:space="preserve">Precio unitario </t>
        </is>
      </c>
      <c r="G1" s="11" t="inlineStr">
        <is>
          <t xml:space="preserve">Total </t>
        </is>
      </c>
    </row>
    <row r="2" ht="15" customHeight="1" s="10">
      <c r="A2" s="9" t="inlineStr">
        <is>
          <t>06/05/2026</t>
        </is>
      </c>
      <c r="B2" s="9" t="inlineStr">
        <is>
          <t>23:54</t>
        </is>
      </c>
      <c r="C2" s="9" t="n">
        <v>1</v>
      </c>
      <c r="D2" s="9" t="inlineStr">
        <is>
          <t>lemon lime</t>
        </is>
      </c>
      <c r="E2" s="9" t="inlineStr">
        <is>
          <t>Efectivo</t>
        </is>
      </c>
      <c r="F2" s="9" t="n">
        <v>13</v>
      </c>
      <c r="G2" s="9" t="n">
        <v>13</v>
      </c>
    </row>
    <row r="3" ht="15" customHeight="1" s="10">
      <c r="A3" s="9" t="inlineStr">
        <is>
          <t>07/05/2026</t>
        </is>
      </c>
      <c r="B3" s="9" t="inlineStr">
        <is>
          <t>00:06</t>
        </is>
      </c>
      <c r="C3" s="9" t="n">
        <v>1</v>
      </c>
      <c r="D3" s="9" t="inlineStr">
        <is>
          <t>sex on the beach</t>
        </is>
      </c>
      <c r="E3" s="9" t="inlineStr">
        <is>
          <t>Efectivo</t>
        </is>
      </c>
      <c r="F3" s="9" t="n">
        <v>13</v>
      </c>
      <c r="G3" s="13" t="n">
        <v>13</v>
      </c>
    </row>
    <row r="4">
      <c r="A4" t="inlineStr">
        <is>
          <t>07/05/2026</t>
        </is>
      </c>
      <c r="B4" t="inlineStr">
        <is>
          <t>00:29</t>
        </is>
      </c>
      <c r="C4" t="n">
        <v>1</v>
      </c>
      <c r="D4" t="inlineStr">
        <is>
          <t>lemon lime</t>
        </is>
      </c>
      <c r="E4" t="inlineStr">
        <is>
          <t>Efectivo</t>
        </is>
      </c>
      <c r="F4" t="n">
        <v>13</v>
      </c>
      <c r="G4" s="14" t="n">
        <v>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8.6796875" defaultRowHeight="15" customHeight="0" zeroHeight="0" outlineLevelRow="0"/>
  <cols>
    <col width="23" customWidth="1" style="9" min="1" max="1"/>
    <col width="17" customWidth="1" style="9" min="2" max="2"/>
  </cols>
  <sheetData>
    <row r="1" ht="15" customHeight="1" s="10">
      <c r="A1" s="15" t="inlineStr">
        <is>
          <t>Sabor</t>
        </is>
      </c>
      <c r="B1" s="15" t="inlineStr">
        <is>
          <t>Precio unitario</t>
        </is>
      </c>
    </row>
    <row r="2" ht="15" customHeight="1" s="10">
      <c r="A2" s="9" t="inlineStr">
        <is>
          <t>lemon lime</t>
        </is>
      </c>
      <c r="B2" s="13" t="n">
        <v>13</v>
      </c>
    </row>
    <row r="3" ht="15" customHeight="1" s="10">
      <c r="A3" s="9" t="inlineStr">
        <is>
          <t>strawberry banana</t>
        </is>
      </c>
      <c r="B3" s="13" t="n">
        <v>13</v>
      </c>
    </row>
    <row r="4" ht="15" customHeight="1" s="10">
      <c r="A4" s="9" t="inlineStr">
        <is>
          <t>mixed berry</t>
        </is>
      </c>
      <c r="B4" s="13" t="n">
        <v>13</v>
      </c>
    </row>
    <row r="5" ht="15" customHeight="1" s="10">
      <c r="A5" s="9" t="inlineStr">
        <is>
          <t>strawberry watermelon</t>
        </is>
      </c>
      <c r="B5" s="13" t="n">
        <v>13</v>
      </c>
    </row>
    <row r="6" ht="15" customHeight="1" s="10">
      <c r="A6" s="9" t="inlineStr">
        <is>
          <t>pina colada</t>
        </is>
      </c>
      <c r="B6" s="13" t="n">
        <v>13</v>
      </c>
    </row>
    <row r="7" ht="15" customHeight="1" s="10">
      <c r="A7" s="9" t="inlineStr">
        <is>
          <t>cherry cola</t>
        </is>
      </c>
      <c r="B7" s="13" t="n">
        <v>13</v>
      </c>
    </row>
    <row r="8" ht="15" customHeight="1" s="10">
      <c r="A8" s="9" t="inlineStr">
        <is>
          <t>strawberry kiwi</t>
        </is>
      </c>
      <c r="B8" s="13" t="n">
        <v>13</v>
      </c>
    </row>
    <row r="9" ht="15" customHeight="1" s="10">
      <c r="A9" s="9" t="inlineStr">
        <is>
          <t>watermelon ice</t>
        </is>
      </c>
      <c r="B9" s="13" t="n">
        <v>13</v>
      </c>
    </row>
    <row r="10" ht="15" customHeight="1" s="10">
      <c r="A10" s="9" t="inlineStr">
        <is>
          <t>sex on the beach</t>
        </is>
      </c>
      <c r="B10" s="13" t="n">
        <v>13</v>
      </c>
    </row>
    <row r="11" ht="15" customHeight="1" s="10">
      <c r="A11" s="9" t="inlineStr">
        <is>
          <t>monster mango</t>
        </is>
      </c>
      <c r="B11" s="13" t="n">
        <v>13</v>
      </c>
    </row>
    <row r="12" ht="15" customHeight="1" s="1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3" customWidth="1" style="9" min="1" max="1"/>
    <col width="40" customWidth="1" style="9" min="2" max="3"/>
  </cols>
  <sheetData>
    <row r="1" ht="17.25" customHeight="1" s="10">
      <c r="A1" s="16" t="inlineStr">
        <is>
          <t>Resumen general</t>
        </is>
      </c>
    </row>
    <row r="3" ht="15" customHeight="1" s="10">
      <c r="A3" s="17" t="inlineStr">
        <is>
          <t>Total ventas (€)</t>
        </is>
      </c>
      <c r="B3" s="13">
        <f>SUM(Ventas!G2:G10000)</f>
        <v/>
      </c>
    </row>
    <row r="4" ht="15" customHeight="1" s="10">
      <c r="A4" s="17" t="inlineStr">
        <is>
          <t>Total unidades</t>
        </is>
      </c>
      <c r="B4" s="9">
        <f>SUM(Ventas!C2:C10000)</f>
        <v/>
      </c>
    </row>
    <row r="5" ht="15" customHeight="1" s="10">
      <c r="A5" s="17" t="inlineStr">
        <is>
          <t>Ventas hoy (€)</t>
        </is>
      </c>
      <c r="B5" s="13">
        <f>SUMIF(Ventas!A2:A10000,TODAY(),Ventas!G2:G10000)</f>
        <v/>
      </c>
    </row>
    <row r="6" ht="15" customHeight="1" s="10">
      <c r="A6" s="17" t="inlineStr">
        <is>
          <t>Unidades hoy</t>
        </is>
      </c>
      <c r="B6" s="9">
        <f>SUMIF(Ventas!A2:A10000,TODAY(),Ventas!C2:C10000)</f>
        <v/>
      </c>
    </row>
    <row r="8" ht="15" customHeight="1" s="10">
      <c r="A8" s="17" t="inlineStr">
        <is>
          <t>Por sabor</t>
        </is>
      </c>
    </row>
    <row r="9" ht="15" customHeight="1" s="10">
      <c r="A9" s="17" t="inlineStr">
        <is>
          <t>Sabor</t>
        </is>
      </c>
      <c r="B9" s="17" t="inlineStr">
        <is>
          <t>Unidades</t>
        </is>
      </c>
      <c r="C9" s="17" t="inlineStr">
        <is>
          <t>Total (€)</t>
        </is>
      </c>
    </row>
    <row r="10" ht="15" customHeight="1" s="10">
      <c r="A10" s="9" t="inlineStr">
        <is>
          <t>lemon lime</t>
        </is>
      </c>
      <c r="B10" s="9">
        <f>SUMIF(Ventas!D2:D10000,A10,Ventas!C2:C10000)</f>
        <v/>
      </c>
      <c r="C10" s="13">
        <f>SUMIF(Ventas!D2:D10000,A10,Ventas!G2:G10000)</f>
        <v/>
      </c>
    </row>
    <row r="11" ht="15" customHeight="1" s="10">
      <c r="A11" s="9" t="inlineStr">
        <is>
          <t>strawberry banana</t>
        </is>
      </c>
      <c r="B11" s="9">
        <f>SUMIF(Ventas!D2:D10000,A11,Ventas!C2:C10000)</f>
        <v/>
      </c>
      <c r="C11" s="13">
        <f>SUMIF(Ventas!D2:D10000,A11,Ventas!G2:G10000)</f>
        <v/>
      </c>
    </row>
    <row r="12" ht="15" customHeight="1" s="10">
      <c r="A12" s="9" t="inlineStr">
        <is>
          <t>mixed berry</t>
        </is>
      </c>
      <c r="B12" s="9">
        <f>SUMIF(Ventas!D2:D10000,A12,Ventas!C2:C10000)</f>
        <v/>
      </c>
      <c r="C12" s="13">
        <f>SUMIF(Ventas!D2:D10000,A12,Ventas!G2:G10000)</f>
        <v/>
      </c>
    </row>
    <row r="13" ht="15" customHeight="1" s="10">
      <c r="A13" s="9" t="inlineStr">
        <is>
          <t>strawberry watermelon</t>
        </is>
      </c>
      <c r="B13" s="9">
        <f>SUMIF(Ventas!D2:D10000,A13,Ventas!C2:C10000)</f>
        <v/>
      </c>
      <c r="C13" s="13">
        <f>SUMIF(Ventas!D2:D10000,A13,Ventas!G2:G10000)</f>
        <v/>
      </c>
    </row>
    <row r="14" ht="15" customHeight="1" s="10">
      <c r="A14" s="9" t="inlineStr">
        <is>
          <t>pina colada</t>
        </is>
      </c>
      <c r="B14" s="9">
        <f>SUMIF(Ventas!D2:D10000,A14,Ventas!C2:C10000)</f>
        <v/>
      </c>
      <c r="C14" s="13">
        <f>SUMIF(Ventas!D2:D10000,A14,Ventas!G2:G10000)</f>
        <v/>
      </c>
    </row>
    <row r="15" ht="15" customHeight="1" s="10">
      <c r="A15" s="9" t="inlineStr">
        <is>
          <t>cherry cola</t>
        </is>
      </c>
      <c r="B15" s="9">
        <f>SUMIF(Ventas!D2:D10000,A15,Ventas!C2:C10000)</f>
        <v/>
      </c>
      <c r="C15" s="13">
        <f>SUMIF(Ventas!D2:D10000,A15,Ventas!G2:G10000)</f>
        <v/>
      </c>
    </row>
    <row r="16" ht="15" customHeight="1" s="10">
      <c r="A16" s="9" t="inlineStr">
        <is>
          <t>strawberry kiwi</t>
        </is>
      </c>
      <c r="B16" s="9">
        <f>SUMIF(Ventas!D2:D10000,A16,Ventas!C2:C10000)</f>
        <v/>
      </c>
      <c r="C16" s="13">
        <f>SUMIF(Ventas!D2:D10000,A16,Ventas!G2:G10000)</f>
        <v/>
      </c>
    </row>
    <row r="17" ht="15" customHeight="1" s="10">
      <c r="A17" s="9" t="inlineStr">
        <is>
          <t>watermelon ice</t>
        </is>
      </c>
      <c r="B17" s="9">
        <f>SUMIF(Ventas!D2:D10000,A17,Ventas!C2:C10000)</f>
        <v/>
      </c>
      <c r="C17" s="13">
        <f>SUMIF(Ventas!D2:D10000,A17,Ventas!G2:G10000)</f>
        <v/>
      </c>
    </row>
    <row r="18" ht="15" customHeight="1" s="10">
      <c r="A18" s="9" t="inlineStr">
        <is>
          <t>sex on the beach</t>
        </is>
      </c>
      <c r="B18" s="9">
        <f>SUMIF(Ventas!D2:D10000,A18,Ventas!C2:C10000)</f>
        <v/>
      </c>
      <c r="C18" s="13">
        <f>SUMIF(Ventas!D2:D10000,A18,Ventas!G2:G10000)</f>
        <v/>
      </c>
    </row>
    <row r="19" ht="15" customHeight="1" s="10">
      <c r="A19" s="9" t="inlineStr">
        <is>
          <t>monster mango</t>
        </is>
      </c>
      <c r="B19" s="9">
        <f>SUMIF(Ventas!D2:D10000,A19,Ventas!C2:C10000)</f>
        <v/>
      </c>
      <c r="C19" s="13">
        <f>SUMIF(Ventas!D2:D10000,A19,Ventas!G2:G10000)</f>
        <v/>
      </c>
    </row>
    <row r="22" ht="15" customHeight="1" s="10">
      <c r="A22" s="17" t="inlineStr">
        <is>
          <t>Por método de pago</t>
        </is>
      </c>
    </row>
    <row r="23" ht="15" customHeight="1" s="10">
      <c r="A23" s="17" t="inlineStr">
        <is>
          <t>Método</t>
        </is>
      </c>
      <c r="B23" s="17" t="inlineStr">
        <is>
          <t>Unidades</t>
        </is>
      </c>
      <c r="C23" s="17" t="inlineStr">
        <is>
          <t>Total (€)</t>
        </is>
      </c>
    </row>
    <row r="24" ht="15" customHeight="1" s="10">
      <c r="A24" s="9" t="inlineStr">
        <is>
          <t>efectivo</t>
        </is>
      </c>
      <c r="B24" s="9">
        <f>SUMIF(Ventas!E2:E10000,A24,Ventas!C2:C10000)</f>
        <v/>
      </c>
      <c r="C24" s="13">
        <f>SUMIF(Ventas!E2:E10000,A24,Ventas!G2:G10000)</f>
        <v/>
      </c>
    </row>
    <row r="25" ht="15" customHeight="1" s="10">
      <c r="A25" s="9" t="inlineStr">
        <is>
          <t>bizum</t>
        </is>
      </c>
      <c r="B25" s="9">
        <f>SUMIF(Ventas!E2:E10000,A25,Ventas!C2:C10000)</f>
        <v/>
      </c>
      <c r="C25" s="13">
        <f>SUMIF(Ventas!E2:E10000,A25,Ventas!G2:G10000)</f>
        <v/>
      </c>
    </row>
    <row r="26" ht="15" customHeight="1" s="10">
      <c r="A26" s="9" t="inlineStr">
        <is>
          <t>transferencia</t>
        </is>
      </c>
      <c r="B26" s="9">
        <f>SUMIF(Ventas!E2:E10000,A26,Ventas!C2:C10000)</f>
        <v/>
      </c>
      <c r="C26" s="13">
        <f>SUMIF(Ventas!E2:E10000,A26,Ventas!G2:G10000)</f>
        <v/>
      </c>
    </row>
    <row r="27" ht="15" customHeight="1" s="10">
      <c r="A27" s="9" t="inlineStr">
        <is>
          <t>tarjeta</t>
        </is>
      </c>
      <c r="B27" s="9">
        <f>SUMIF(Ventas!E2:E10000,A27,Ventas!C2:C10000)</f>
        <v/>
      </c>
      <c r="C27" s="13">
        <f>SUMIF(Ventas!E2:E10000,A27,Ventas!G2:G10000)</f>
        <v/>
      </c>
    </row>
    <row r="28" ht="15" customHeight="1" s="10">
      <c r="A28" s="9" t="inlineStr">
        <is>
          <t>paypal</t>
        </is>
      </c>
      <c r="B28" s="9">
        <f>SUMIF(Ventas!E2:E10000,A28,Ventas!C2:C10000)</f>
        <v/>
      </c>
      <c r="C28" s="13">
        <f>SUMIF(Ventas!E2:E10000,A28,Ventas!G2:G10000)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2026-05-05T22:06:58Z</dcterms:created>
  <dcterms:modified xsi:type="dcterms:W3CDTF">2026-05-06T22:29:49Z</dcterms:modified>
  <cp:revision>3</cp:revision>
</cp:coreProperties>
</file>